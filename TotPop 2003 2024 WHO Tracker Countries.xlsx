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phecloud-my.sharepoint.com/personal/leonardo_gada_ukhsa_gov_uk/Documents/Documents/Modelling Projects/H5N1 CFR IFR/h5n1-h7n9-fatality-ratios/"/>
    </mc:Choice>
  </mc:AlternateContent>
  <xr:revisionPtr revIDLastSave="8" documentId="11_71719F454665C97AFF136191CA94E65B659BE5A2" xr6:coauthVersionLast="47" xr6:coauthVersionMax="47" xr10:uidLastSave="{E622D610-6F47-435D-BA99-B100C821D8C4}"/>
  <bookViews>
    <workbookView xWindow="57480" yWindow="-120" windowWidth="29040" windowHeight="1584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alcChain>
</file>

<file path=xl/sharedStrings.xml><?xml version="1.0" encoding="utf-8"?>
<sst xmlns="http://schemas.openxmlformats.org/spreadsheetml/2006/main" count="147" uniqueCount="99">
  <si>
    <t>CHL</t>
  </si>
  <si>
    <t>Development relevance</t>
  </si>
  <si>
    <t>Total population is based on the de facto definition of population, which counts all residents regardless of legal status or citizenship. The values shown are midyear estimates.</t>
  </si>
  <si>
    <t>United Kingdom</t>
  </si>
  <si>
    <t>Thailand</t>
  </si>
  <si>
    <t>2013 [YR2013]</t>
  </si>
  <si>
    <t>NPL</t>
  </si>
  <si>
    <t>AZE</t>
  </si>
  <si>
    <t>Aggregation method</t>
  </si>
  <si>
    <t>2004 [YR2004]</t>
  </si>
  <si>
    <t>2012 [YR2012]</t>
  </si>
  <si>
    <t>Country Code</t>
  </si>
  <si>
    <t>India</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</si>
  <si>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</si>
  <si>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2018 [YR2018]</t>
  </si>
  <si>
    <t>Ecuador</t>
  </si>
  <si>
    <t>Code</t>
  </si>
  <si>
    <t>2003 [YR2003]</t>
  </si>
  <si>
    <t>GBR</t>
  </si>
  <si>
    <t>ESP</t>
  </si>
  <si>
    <t>CAN</t>
  </si>
  <si>
    <t>Bangladesh</t>
  </si>
  <si>
    <t>Relevance to gender indicator: disaggregating the population composition by gender will help a country in projecting its demand for social services on a gender basis.</t>
  </si>
  <si>
    <t>DJI</t>
  </si>
  <si>
    <t>Annual</t>
  </si>
  <si>
    <t>EGY</t>
  </si>
  <si>
    <t>Health: Population: Structure</t>
  </si>
  <si>
    <t>2017 [YR2017]</t>
  </si>
  <si>
    <t>Viet Nam</t>
  </si>
  <si>
    <t>Country Name</t>
  </si>
  <si>
    <t>2008 [YR2008]</t>
  </si>
  <si>
    <t>THA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</si>
  <si>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</si>
  <si>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NGA</t>
  </si>
  <si>
    <t>2016 [YR2016]</t>
  </si>
  <si>
    <t>Nepal</t>
  </si>
  <si>
    <t>SP.POP.TOTL</t>
  </si>
  <si>
    <t>2007 [YR2007]</t>
  </si>
  <si>
    <t>Limitations and exceptions</t>
  </si>
  <si>
    <t>Lao PDR</t>
  </si>
  <si>
    <t>Spain</t>
  </si>
  <si>
    <t>MMR</t>
  </si>
  <si>
    <t>Nigeria</t>
  </si>
  <si>
    <t>License Type</t>
  </si>
  <si>
    <t>LAO</t>
  </si>
  <si>
    <t>2021 [YR2021]</t>
  </si>
  <si>
    <t>2006 [YR2006]</t>
  </si>
  <si>
    <t>Canada</t>
  </si>
  <si>
    <t>Population, total</t>
  </si>
  <si>
    <t>CC BY-4.0</t>
  </si>
  <si>
    <t>PAK</t>
  </si>
  <si>
    <t>Topic</t>
  </si>
  <si>
    <t>Cambodia</t>
  </si>
  <si>
    <t>VNM</t>
  </si>
  <si>
    <t>(1)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</si>
  <si>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Sum</t>
  </si>
  <si>
    <t>Australia</t>
  </si>
  <si>
    <t>Iraq</t>
  </si>
  <si>
    <t>General comments</t>
  </si>
  <si>
    <t>Turkiye</t>
  </si>
  <si>
    <t>IDN</t>
  </si>
  <si>
    <t>2020 [YR2020]</t>
  </si>
  <si>
    <t>Long definition</t>
  </si>
  <si>
    <t>United States</t>
  </si>
  <si>
    <t>Periodicity</t>
  </si>
  <si>
    <t>2011 [YR2011]</t>
  </si>
  <si>
    <t>USA</t>
  </si>
  <si>
    <t>2019 [YR2019]</t>
  </si>
  <si>
    <t>Myanmar</t>
  </si>
  <si>
    <t>China</t>
  </si>
  <si>
    <t>Series Code</t>
  </si>
  <si>
    <t>ECU</t>
  </si>
  <si>
    <t>2010 [YR2010]</t>
  </si>
  <si>
    <t>Indonesia</t>
  </si>
  <si>
    <t>CHN</t>
  </si>
  <si>
    <t>BGD</t>
  </si>
  <si>
    <t>Chile</t>
  </si>
  <si>
    <t>Djibouti</t>
  </si>
  <si>
    <t>2024 [YR2024]</t>
  </si>
  <si>
    <t>2009 [YR2009]</t>
  </si>
  <si>
    <t>Statistical concept and methodology</t>
  </si>
  <si>
    <t>IRQ</t>
  </si>
  <si>
    <t>2015 [YR2015]</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</si>
  <si>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</si>
  <si>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Source</t>
  </si>
  <si>
    <t>Series Name</t>
  </si>
  <si>
    <t>Pakistan</t>
  </si>
  <si>
    <t>2023 [YR2023]</t>
  </si>
  <si>
    <t>TUR</t>
  </si>
  <si>
    <t>Egypt, Arab Rep.</t>
  </si>
  <si>
    <t>KHM</t>
  </si>
  <si>
    <t>IND</t>
  </si>
  <si>
    <t>Indicator Name</t>
  </si>
  <si>
    <t>2014 [YR2014]</t>
  </si>
  <si>
    <t>AUS</t>
  </si>
  <si>
    <t>Azerbaijan</t>
  </si>
  <si>
    <t>2005 [YR2005]</t>
  </si>
  <si>
    <t>2022 [YR2022]</t>
  </si>
  <si>
    <t>MeanPop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</si>
</sst>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49" fontId="0" fillId="0" borderId="0" xfId="0" applyNumberFormat="1"/>
    <xf numFmtId="1" fontId="0" fillId="0" borderId="0" xfId="0" applyNumberFormat="1"/>
  </cellXfs>
  <cellStyles count="1">
    <cellStyle name="Normal" xfId="0" builtinId="0"/>
  </cellStyles>
  <dxfs count="3">
    <dxf>
      <numFmt numFmtId="1" formatCode="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EFBDE-D732-4AEB-9222-6818F3D0579C}" name="Table1" displayName="Table1" ref="A1:AA25" totalsRowShown="0">
  <autoFilter ref="A1:AA25" xr:uid="{773EFBDE-D732-4AEB-9222-6818F3D0579C}"/>
  <tableColumns count="27">
    <tableColumn id="1" xr3:uid="{D40EAE77-D358-4A71-9871-14D469D8167A}" name="Series Name"/>
    <tableColumn id="2" xr3:uid="{A8FE3965-4DAF-4DFE-A414-B220B9D59E64}" name="Series Code" dataDxfId="2"/>
    <tableColumn id="3" xr3:uid="{60FB5553-C361-4220-ADDE-CB9892BCCD6D}" name="Country Name"/>
    <tableColumn id="4" xr3:uid="{EC3C48C7-217F-442E-B639-F7E279BCA25D}" name="Country Code" dataDxfId="1"/>
    <tableColumn id="5" xr3:uid="{FFBD832A-B58B-4AE9-86DC-EEE535657408}" name="2003 [YR2003]"/>
    <tableColumn id="6" xr3:uid="{1E4FE62D-A6FD-4CAB-923B-5BC109CFBFD8}" name="2004 [YR2004]"/>
    <tableColumn id="7" xr3:uid="{523D75F4-8AF2-42D5-BE2A-47CDC36483F2}" name="2005 [YR2005]"/>
    <tableColumn id="8" xr3:uid="{B8EA427F-AC65-47EF-A4FE-D1BE453F7F4F}" name="2006 [YR2006]"/>
    <tableColumn id="9" xr3:uid="{1208207F-F80C-45DB-9E69-1F6B54706553}" name="2007 [YR2007]"/>
    <tableColumn id="10" xr3:uid="{857D2184-E94B-4098-B935-D96BE6CF1A79}" name="2008 [YR2008]"/>
    <tableColumn id="11" xr3:uid="{17A25E8F-0A2F-445F-86CE-D63DDE02CF62}" name="2009 [YR2009]"/>
    <tableColumn id="12" xr3:uid="{4F28C507-073B-4033-AA20-22AB33588749}" name="2010 [YR2010]"/>
    <tableColumn id="13" xr3:uid="{D73C5898-22D7-4944-A6FC-59D5499F8644}" name="2011 [YR2011]"/>
    <tableColumn id="14" xr3:uid="{0402F28B-884B-4630-9857-9535CD9C1C05}" name="2012 [YR2012]"/>
    <tableColumn id="15" xr3:uid="{B72A760F-54B7-4224-85EB-CD28189DBC36}" name="2013 [YR2013]"/>
    <tableColumn id="16" xr3:uid="{81B3B009-A192-4DC5-8AE8-3EC79F664A7E}" name="2014 [YR2014]"/>
    <tableColumn id="17" xr3:uid="{66619636-4489-429E-8E97-59979348823F}" name="2015 [YR2015]"/>
    <tableColumn id="18" xr3:uid="{6125092E-FB58-4388-A122-8811091FBA48}" name="2016 [YR2016]"/>
    <tableColumn id="19" xr3:uid="{9A3E4974-30AD-4A82-BDA8-2C558468A364}" name="2017 [YR2017]"/>
    <tableColumn id="20" xr3:uid="{08571731-48E2-47C7-AE74-0A0880F91E89}" name="2018 [YR2018]"/>
    <tableColumn id="21" xr3:uid="{2669C4C9-A51D-4F86-B516-5D0C14FDE7C1}" name="2019 [YR2019]"/>
    <tableColumn id="22" xr3:uid="{3CD9CDDF-E152-437D-8DA5-6028BC060929}" name="2020 [YR2020]"/>
    <tableColumn id="23" xr3:uid="{7EEF6E09-7807-408C-B81B-A9875CAD389D}" name="2021 [YR2021]"/>
    <tableColumn id="24" xr3:uid="{C7D83E9E-FFC5-4B87-B0F7-1287ABE4E3E1}" name="2022 [YR2022]"/>
    <tableColumn id="25" xr3:uid="{E2E1A291-A6EA-48F4-864A-DC1EAD6E3C2B}" name="2023 [YR2023]"/>
    <tableColumn id="26" xr3:uid="{B5E497A2-6D8E-42C1-A1E4-3517B4FA835D}" name="2024 [YR2024]"/>
    <tableColumn id="27" xr3:uid="{FE1A5160-DD72-467E-ACBE-71574AA363C7}" name="MeanPop" dataDxfId="0">
      <calculatedColumnFormula>AVERAGE(Table1[[#This Row],[2003 '[YR2003']]:[2024 '[YR2024']]])</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
  <sheetViews>
    <sheetView tabSelected="1" workbookViewId="0">
      <selection activeCell="AD28" sqref="AD28"/>
    </sheetView>
  </sheetViews>
  <sheetFormatPr defaultRowHeight="14.4" x14ac:dyDescent="0.55000000000000004"/>
  <cols>
    <col min="1" max="1" width="12.89453125" customWidth="1"/>
    <col min="2" max="2" width="12.26171875" customWidth="1"/>
    <col min="3" max="3" width="14.3671875" customWidth="1"/>
    <col min="4" max="26" width="13.68359375" customWidth="1"/>
    <col min="27" max="27" width="14.26171875" customWidth="1"/>
  </cols>
  <sheetData>
    <row r="1" spans="1:27" x14ac:dyDescent="0.55000000000000004">
      <c r="A1" t="s">
        <v>85</v>
      </c>
      <c r="B1" s="2" t="s">
        <v>70</v>
      </c>
      <c r="C1" t="s">
        <v>29</v>
      </c>
      <c r="D1" s="2" t="s">
        <v>11</v>
      </c>
      <c r="E1" t="s">
        <v>17</v>
      </c>
      <c r="F1" t="s">
        <v>9</v>
      </c>
      <c r="G1" t="s">
        <v>96</v>
      </c>
      <c r="H1" t="s">
        <v>46</v>
      </c>
      <c r="I1" t="s">
        <v>37</v>
      </c>
      <c r="J1" t="s">
        <v>30</v>
      </c>
      <c r="K1" t="s">
        <v>79</v>
      </c>
      <c r="L1" t="s">
        <v>72</v>
      </c>
      <c r="M1" t="s">
        <v>65</v>
      </c>
      <c r="N1" t="s">
        <v>10</v>
      </c>
      <c r="O1" t="s">
        <v>5</v>
      </c>
      <c r="P1" t="s">
        <v>93</v>
      </c>
      <c r="Q1" t="s">
        <v>82</v>
      </c>
      <c r="R1" t="s">
        <v>34</v>
      </c>
      <c r="S1" t="s">
        <v>27</v>
      </c>
      <c r="T1" t="s">
        <v>14</v>
      </c>
      <c r="U1" t="s">
        <v>67</v>
      </c>
      <c r="V1" t="s">
        <v>61</v>
      </c>
      <c r="W1" t="s">
        <v>45</v>
      </c>
      <c r="X1" t="s">
        <v>97</v>
      </c>
      <c r="Y1" t="s">
        <v>87</v>
      </c>
      <c r="Z1" t="s">
        <v>78</v>
      </c>
      <c r="AA1" t="s">
        <v>98</v>
      </c>
    </row>
    <row r="2" spans="1:27" x14ac:dyDescent="0.55000000000000004">
      <c r="A2" t="s">
        <v>48</v>
      </c>
      <c r="B2" s="2" t="s">
        <v>36</v>
      </c>
      <c r="C2" t="s">
        <v>56</v>
      </c>
      <c r="D2" s="2" t="s">
        <v>94</v>
      </c>
      <c r="E2">
        <v>19720737</v>
      </c>
      <c r="F2">
        <v>19932722</v>
      </c>
      <c r="G2">
        <v>20176844</v>
      </c>
      <c r="H2">
        <v>20450966</v>
      </c>
      <c r="I2">
        <v>20827622</v>
      </c>
      <c r="J2">
        <v>21249199</v>
      </c>
      <c r="K2">
        <v>21691653</v>
      </c>
      <c r="L2">
        <v>22031750</v>
      </c>
      <c r="M2">
        <v>22340024</v>
      </c>
      <c r="N2">
        <v>22733465</v>
      </c>
      <c r="O2">
        <v>23128129</v>
      </c>
      <c r="P2">
        <v>23475686</v>
      </c>
      <c r="Q2">
        <v>23815995</v>
      </c>
      <c r="R2">
        <v>24190907</v>
      </c>
      <c r="S2">
        <v>24592588</v>
      </c>
      <c r="T2">
        <v>24963258</v>
      </c>
      <c r="U2">
        <v>25334826</v>
      </c>
      <c r="V2">
        <v>25649248</v>
      </c>
      <c r="W2">
        <v>25685412</v>
      </c>
      <c r="X2">
        <v>26014399</v>
      </c>
      <c r="Y2">
        <v>26638544</v>
      </c>
      <c r="Z2">
        <v>26889126</v>
      </c>
      <c r="AA2" s="3">
        <f>AVERAGE(Table1[[#This Row],[2003 '[YR2003']]:[2024 '[YR2024']]])</f>
        <v>23251504.545454547</v>
      </c>
    </row>
    <row r="3" spans="1:27" x14ac:dyDescent="0.55000000000000004">
      <c r="A3" t="s">
        <v>48</v>
      </c>
      <c r="B3" s="2" t="s">
        <v>36</v>
      </c>
      <c r="C3" t="s">
        <v>95</v>
      </c>
      <c r="D3" s="2" t="s">
        <v>7</v>
      </c>
      <c r="E3">
        <v>8234100</v>
      </c>
      <c r="F3">
        <v>8306500</v>
      </c>
      <c r="G3">
        <v>8391850</v>
      </c>
      <c r="H3">
        <v>8484550</v>
      </c>
      <c r="I3">
        <v>8581300</v>
      </c>
      <c r="J3">
        <v>8763400</v>
      </c>
      <c r="K3">
        <v>8947243</v>
      </c>
      <c r="L3">
        <v>9054332</v>
      </c>
      <c r="M3">
        <v>9173082</v>
      </c>
      <c r="N3">
        <v>9295784</v>
      </c>
      <c r="O3">
        <v>9416801</v>
      </c>
      <c r="P3">
        <v>9535079</v>
      </c>
      <c r="Q3">
        <v>9649341</v>
      </c>
      <c r="R3">
        <v>9757812</v>
      </c>
      <c r="S3">
        <v>9854033</v>
      </c>
      <c r="T3">
        <v>9939771</v>
      </c>
      <c r="U3">
        <v>10024283</v>
      </c>
      <c r="V3">
        <v>10093121</v>
      </c>
      <c r="W3">
        <v>10137750</v>
      </c>
      <c r="X3">
        <v>10141756</v>
      </c>
      <c r="Y3">
        <v>10112555</v>
      </c>
      <c r="Z3">
        <v>10162521</v>
      </c>
      <c r="AA3" s="3">
        <f>AVERAGE(Table1[[#This Row],[2003 '[YR2003']]:[2024 '[YR2024']]])</f>
        <v>9366225.6363636367</v>
      </c>
    </row>
    <row r="4" spans="1:27" x14ac:dyDescent="0.55000000000000004">
      <c r="A4" t="s">
        <v>48</v>
      </c>
      <c r="B4" s="2" t="s">
        <v>36</v>
      </c>
      <c r="C4" t="s">
        <v>21</v>
      </c>
      <c r="D4" s="2" t="s">
        <v>75</v>
      </c>
      <c r="E4">
        <v>136503206</v>
      </c>
      <c r="F4">
        <v>138789725</v>
      </c>
      <c r="G4">
        <v>140912590</v>
      </c>
      <c r="H4">
        <v>142628831</v>
      </c>
      <c r="I4">
        <v>144135934</v>
      </c>
      <c r="J4">
        <v>145421318</v>
      </c>
      <c r="K4">
        <v>146706810</v>
      </c>
      <c r="L4">
        <v>148391139</v>
      </c>
      <c r="M4">
        <v>150211005</v>
      </c>
      <c r="N4">
        <v>152090649</v>
      </c>
      <c r="O4">
        <v>154030139</v>
      </c>
      <c r="P4">
        <v>155961299</v>
      </c>
      <c r="Q4">
        <v>157830000</v>
      </c>
      <c r="R4">
        <v>159784568</v>
      </c>
      <c r="S4">
        <v>161793964</v>
      </c>
      <c r="T4">
        <v>163683958</v>
      </c>
      <c r="U4">
        <v>165516222</v>
      </c>
      <c r="V4">
        <v>167420951</v>
      </c>
      <c r="W4">
        <v>169356251</v>
      </c>
      <c r="X4">
        <v>171186372</v>
      </c>
      <c r="Y4">
        <v>172954319</v>
      </c>
      <c r="Z4">
        <v>174701211</v>
      </c>
      <c r="AA4" s="3">
        <f>AVERAGE(Table1[[#This Row],[2003 '[YR2003']]:[2024 '[YR2024']]])</f>
        <v>155455020.95454547</v>
      </c>
    </row>
    <row r="5" spans="1:27" x14ac:dyDescent="0.55000000000000004">
      <c r="A5" t="s">
        <v>48</v>
      </c>
      <c r="B5" s="2" t="s">
        <v>36</v>
      </c>
      <c r="C5" t="s">
        <v>52</v>
      </c>
      <c r="D5" s="2" t="s">
        <v>90</v>
      </c>
      <c r="E5">
        <v>12787710</v>
      </c>
      <c r="F5">
        <v>13016371</v>
      </c>
      <c r="G5">
        <v>13246583</v>
      </c>
      <c r="H5">
        <v>13477779</v>
      </c>
      <c r="I5">
        <v>13714791</v>
      </c>
      <c r="J5">
        <v>13943888</v>
      </c>
      <c r="K5">
        <v>14155740</v>
      </c>
      <c r="L5">
        <v>14363532</v>
      </c>
      <c r="M5">
        <v>14573885</v>
      </c>
      <c r="N5">
        <v>14786640</v>
      </c>
      <c r="O5">
        <v>14999683</v>
      </c>
      <c r="P5">
        <v>15210817</v>
      </c>
      <c r="Q5">
        <v>15417523</v>
      </c>
      <c r="R5">
        <v>15624584</v>
      </c>
      <c r="S5">
        <v>15830689</v>
      </c>
      <c r="T5">
        <v>16025238</v>
      </c>
      <c r="U5">
        <v>16207746</v>
      </c>
      <c r="V5">
        <v>16396860</v>
      </c>
      <c r="W5">
        <v>16589023</v>
      </c>
      <c r="X5">
        <v>16767842</v>
      </c>
      <c r="Y5">
        <v>16944826</v>
      </c>
      <c r="Z5">
        <v>17121847</v>
      </c>
      <c r="AA5" s="3">
        <f>AVERAGE(Table1[[#This Row],[2003 '[YR2003']]:[2024 '[YR2024']]])</f>
        <v>15054708.954545455</v>
      </c>
    </row>
    <row r="6" spans="1:27" x14ac:dyDescent="0.55000000000000004">
      <c r="A6" t="s">
        <v>48</v>
      </c>
      <c r="B6" s="2" t="s">
        <v>36</v>
      </c>
      <c r="C6" t="s">
        <v>47</v>
      </c>
      <c r="D6" s="2" t="s">
        <v>20</v>
      </c>
      <c r="E6">
        <v>31642461</v>
      </c>
      <c r="F6">
        <v>31938807</v>
      </c>
      <c r="G6">
        <v>32242732</v>
      </c>
      <c r="H6">
        <v>32571193</v>
      </c>
      <c r="I6">
        <v>32888886</v>
      </c>
      <c r="J6">
        <v>33247298</v>
      </c>
      <c r="K6">
        <v>33630069</v>
      </c>
      <c r="L6">
        <v>34005902</v>
      </c>
      <c r="M6">
        <v>34339221</v>
      </c>
      <c r="N6">
        <v>34713395</v>
      </c>
      <c r="O6">
        <v>35080992</v>
      </c>
      <c r="P6">
        <v>35434066</v>
      </c>
      <c r="Q6">
        <v>35704498</v>
      </c>
      <c r="R6">
        <v>36110803</v>
      </c>
      <c r="S6">
        <v>36545075</v>
      </c>
      <c r="T6">
        <v>37072620</v>
      </c>
      <c r="U6">
        <v>37618495</v>
      </c>
      <c r="V6">
        <v>38028638</v>
      </c>
      <c r="W6">
        <v>38239864</v>
      </c>
      <c r="X6">
        <v>38939056</v>
      </c>
      <c r="Y6">
        <v>40097761</v>
      </c>
      <c r="Z6">
        <v>40409176</v>
      </c>
      <c r="AA6" s="3">
        <f>AVERAGE(Table1[[#This Row],[2003 '[YR2003']]:[2024 '[YR2024']]])</f>
        <v>35477318.545454547</v>
      </c>
    </row>
    <row r="7" spans="1:27" x14ac:dyDescent="0.55000000000000004">
      <c r="A7" t="s">
        <v>48</v>
      </c>
      <c r="B7" s="2" t="s">
        <v>36</v>
      </c>
      <c r="C7" t="s">
        <v>76</v>
      </c>
      <c r="D7" s="2" t="s">
        <v>0</v>
      </c>
      <c r="E7">
        <v>15859112</v>
      </c>
      <c r="F7">
        <v>16017966</v>
      </c>
      <c r="G7">
        <v>16175311</v>
      </c>
      <c r="H7">
        <v>16334575</v>
      </c>
      <c r="I7">
        <v>16495538</v>
      </c>
      <c r="J7">
        <v>16661462</v>
      </c>
      <c r="K7">
        <v>16833447</v>
      </c>
      <c r="L7">
        <v>17004162</v>
      </c>
      <c r="M7">
        <v>17173573</v>
      </c>
      <c r="N7">
        <v>17341771</v>
      </c>
      <c r="O7">
        <v>17509925</v>
      </c>
      <c r="P7">
        <v>17687108</v>
      </c>
      <c r="Q7">
        <v>17870124</v>
      </c>
      <c r="R7">
        <v>18083879</v>
      </c>
      <c r="S7">
        <v>18368577</v>
      </c>
      <c r="T7">
        <v>18701450</v>
      </c>
      <c r="U7">
        <v>19039485</v>
      </c>
      <c r="V7">
        <v>19300315</v>
      </c>
      <c r="W7">
        <v>19493184</v>
      </c>
      <c r="X7">
        <v>19603733</v>
      </c>
      <c r="Y7">
        <v>19629590</v>
      </c>
      <c r="Z7">
        <v>19658839</v>
      </c>
      <c r="AA7" s="3">
        <f>AVERAGE(Table1[[#This Row],[2003 '[YR2003']]:[2024 '[YR2024']]])</f>
        <v>17765596.636363637</v>
      </c>
    </row>
    <row r="8" spans="1:27" x14ac:dyDescent="0.55000000000000004">
      <c r="A8" t="s">
        <v>48</v>
      </c>
      <c r="B8" s="2" t="s">
        <v>36</v>
      </c>
      <c r="C8" t="s">
        <v>69</v>
      </c>
      <c r="D8" s="2" t="s">
        <v>74</v>
      </c>
      <c r="E8">
        <v>1288400000</v>
      </c>
      <c r="F8">
        <v>1296075000</v>
      </c>
      <c r="G8">
        <v>1303720000</v>
      </c>
      <c r="H8">
        <v>1311020000</v>
      </c>
      <c r="I8">
        <v>1317885000</v>
      </c>
      <c r="J8">
        <v>1324655000</v>
      </c>
      <c r="K8">
        <v>1331260000</v>
      </c>
      <c r="L8">
        <v>1337705000</v>
      </c>
      <c r="M8">
        <v>1345035000</v>
      </c>
      <c r="N8">
        <v>1354190000</v>
      </c>
      <c r="O8">
        <v>1363240000</v>
      </c>
      <c r="P8">
        <v>1371860000</v>
      </c>
      <c r="Q8">
        <v>1379860000</v>
      </c>
      <c r="R8">
        <v>1387790000</v>
      </c>
      <c r="S8">
        <v>1396215000</v>
      </c>
      <c r="T8">
        <v>1402760000</v>
      </c>
      <c r="U8">
        <v>1407745000</v>
      </c>
      <c r="V8">
        <v>1411100000</v>
      </c>
      <c r="W8">
        <v>1412360000</v>
      </c>
      <c r="X8">
        <v>1412175000</v>
      </c>
      <c r="Y8">
        <v>1410710000</v>
      </c>
      <c r="Z8">
        <v>1410132224</v>
      </c>
      <c r="AA8" s="3">
        <f>AVERAGE(Table1[[#This Row],[2003 '[YR2003']]:[2024 '[YR2024']]])</f>
        <v>1362540555.6363637</v>
      </c>
    </row>
    <row r="9" spans="1:27" x14ac:dyDescent="0.55000000000000004">
      <c r="A9" t="s">
        <v>48</v>
      </c>
      <c r="B9" s="2" t="s">
        <v>36</v>
      </c>
      <c r="C9" t="s">
        <v>77</v>
      </c>
      <c r="D9" s="2" t="s">
        <v>23</v>
      </c>
      <c r="E9">
        <v>806411</v>
      </c>
      <c r="F9">
        <v>818373</v>
      </c>
      <c r="G9">
        <v>830861</v>
      </c>
      <c r="H9">
        <v>846947</v>
      </c>
      <c r="I9">
        <v>865196</v>
      </c>
      <c r="J9">
        <v>882886</v>
      </c>
      <c r="K9">
        <v>901103</v>
      </c>
      <c r="L9">
        <v>919199</v>
      </c>
      <c r="M9">
        <v>936811</v>
      </c>
      <c r="N9">
        <v>954297</v>
      </c>
      <c r="O9">
        <v>971753</v>
      </c>
      <c r="P9">
        <v>989087</v>
      </c>
      <c r="Q9">
        <v>1006259</v>
      </c>
      <c r="R9">
        <v>1023261</v>
      </c>
      <c r="S9">
        <v>1040233</v>
      </c>
      <c r="T9">
        <v>1057198</v>
      </c>
      <c r="U9">
        <v>1073994</v>
      </c>
      <c r="V9">
        <v>1090156</v>
      </c>
      <c r="W9">
        <v>1105557</v>
      </c>
      <c r="X9">
        <v>1120849</v>
      </c>
      <c r="Y9">
        <v>1136455</v>
      </c>
      <c r="Z9">
        <v>1152329</v>
      </c>
      <c r="AA9" s="3">
        <f>AVERAGE(Table1[[#This Row],[2003 '[YR2003']]:[2024 '[YR2024']]])</f>
        <v>978600.68181818177</v>
      </c>
    </row>
    <row r="10" spans="1:27" x14ac:dyDescent="0.55000000000000004">
      <c r="A10" t="s">
        <v>48</v>
      </c>
      <c r="B10" s="2" t="s">
        <v>36</v>
      </c>
      <c r="C10" t="s">
        <v>15</v>
      </c>
      <c r="D10" s="2" t="s">
        <v>71</v>
      </c>
      <c r="E10">
        <v>13301184</v>
      </c>
      <c r="F10">
        <v>13534593</v>
      </c>
      <c r="G10">
        <v>13770012</v>
      </c>
      <c r="H10">
        <v>14009061</v>
      </c>
      <c r="I10">
        <v>14251835</v>
      </c>
      <c r="J10">
        <v>14496797</v>
      </c>
      <c r="K10">
        <v>14742766</v>
      </c>
      <c r="L10">
        <v>14989585</v>
      </c>
      <c r="M10">
        <v>15237728</v>
      </c>
      <c r="N10">
        <v>15483883</v>
      </c>
      <c r="O10">
        <v>15722989</v>
      </c>
      <c r="P10">
        <v>15957994</v>
      </c>
      <c r="Q10">
        <v>16195902</v>
      </c>
      <c r="R10">
        <v>16439585</v>
      </c>
      <c r="S10">
        <v>16696944</v>
      </c>
      <c r="T10">
        <v>17015672</v>
      </c>
      <c r="U10">
        <v>17343740</v>
      </c>
      <c r="V10">
        <v>17588595</v>
      </c>
      <c r="W10">
        <v>17797737</v>
      </c>
      <c r="X10">
        <v>18001000</v>
      </c>
      <c r="Y10">
        <v>18190484</v>
      </c>
      <c r="Z10">
        <v>18377367</v>
      </c>
      <c r="AA10" s="3">
        <f>AVERAGE(Table1[[#This Row],[2003 '[YR2003']]:[2024 '[YR2024']]])</f>
        <v>15870247.863636363</v>
      </c>
    </row>
    <row r="11" spans="1:27" x14ac:dyDescent="0.55000000000000004">
      <c r="A11" t="s">
        <v>48</v>
      </c>
      <c r="B11" s="2" t="s">
        <v>36</v>
      </c>
      <c r="C11" t="s">
        <v>89</v>
      </c>
      <c r="D11" s="2" t="s">
        <v>25</v>
      </c>
      <c r="E11">
        <v>75963322</v>
      </c>
      <c r="F11">
        <v>77522427</v>
      </c>
      <c r="G11">
        <v>79075310</v>
      </c>
      <c r="H11">
        <v>80629670</v>
      </c>
      <c r="I11">
        <v>82218755</v>
      </c>
      <c r="J11">
        <v>83844783</v>
      </c>
      <c r="K11">
        <v>85501064</v>
      </c>
      <c r="L11">
        <v>87252413</v>
      </c>
      <c r="M11">
        <v>89200054</v>
      </c>
      <c r="N11">
        <v>91240376</v>
      </c>
      <c r="O11">
        <v>93377890</v>
      </c>
      <c r="P11">
        <v>95592324</v>
      </c>
      <c r="Q11">
        <v>97723799</v>
      </c>
      <c r="R11">
        <v>99784030</v>
      </c>
      <c r="S11">
        <v>101789386</v>
      </c>
      <c r="T11">
        <v>103740765</v>
      </c>
      <c r="U11">
        <v>105618671</v>
      </c>
      <c r="V11">
        <v>107465134</v>
      </c>
      <c r="W11">
        <v>109262178</v>
      </c>
      <c r="X11">
        <v>110990103</v>
      </c>
      <c r="Y11">
        <v>112716598</v>
      </c>
      <c r="Z11">
        <v>114484252</v>
      </c>
      <c r="AA11" s="3">
        <f>AVERAGE(Table1[[#This Row],[2003 '[YR2003']]:[2024 '[YR2024']]])</f>
        <v>94772422.909090906</v>
      </c>
    </row>
    <row r="12" spans="1:27" x14ac:dyDescent="0.55000000000000004">
      <c r="A12" t="s">
        <v>48</v>
      </c>
      <c r="B12" s="2" t="s">
        <v>36</v>
      </c>
      <c r="C12" t="s">
        <v>12</v>
      </c>
      <c r="D12" s="2" t="s">
        <v>91</v>
      </c>
      <c r="E12">
        <v>1117415123</v>
      </c>
      <c r="F12">
        <v>1136264583</v>
      </c>
      <c r="G12">
        <v>1154638713</v>
      </c>
      <c r="H12">
        <v>1172373788</v>
      </c>
      <c r="I12">
        <v>1189691809</v>
      </c>
      <c r="J12">
        <v>1206734806</v>
      </c>
      <c r="K12">
        <v>1223640160</v>
      </c>
      <c r="L12">
        <v>1240613620</v>
      </c>
      <c r="M12">
        <v>1257621191</v>
      </c>
      <c r="N12">
        <v>1274487215</v>
      </c>
      <c r="O12">
        <v>1291132063</v>
      </c>
      <c r="P12">
        <v>1307246509</v>
      </c>
      <c r="Q12">
        <v>1322866505</v>
      </c>
      <c r="R12">
        <v>1338636340</v>
      </c>
      <c r="S12">
        <v>1354195680</v>
      </c>
      <c r="T12">
        <v>1369003306</v>
      </c>
      <c r="U12">
        <v>1383112050</v>
      </c>
      <c r="V12">
        <v>1396387127</v>
      </c>
      <c r="W12">
        <v>1407563842</v>
      </c>
      <c r="X12">
        <v>1417173173</v>
      </c>
      <c r="Y12">
        <v>1428627663</v>
      </c>
      <c r="Z12">
        <v>1441719852</v>
      </c>
      <c r="AA12" s="3">
        <f>AVERAGE(Table1[[#This Row],[2003 '[YR2003']]:[2024 '[YR2024']]])</f>
        <v>1292324778.090909</v>
      </c>
    </row>
    <row r="13" spans="1:27" x14ac:dyDescent="0.55000000000000004">
      <c r="A13" t="s">
        <v>48</v>
      </c>
      <c r="B13" s="2" t="s">
        <v>36</v>
      </c>
      <c r="C13" t="s">
        <v>73</v>
      </c>
      <c r="D13" s="2" t="s">
        <v>60</v>
      </c>
      <c r="E13">
        <v>223080121</v>
      </c>
      <c r="F13">
        <v>225938595</v>
      </c>
      <c r="G13">
        <v>228805144</v>
      </c>
      <c r="H13">
        <v>231797427</v>
      </c>
      <c r="I13">
        <v>234858289</v>
      </c>
      <c r="J13">
        <v>237936543</v>
      </c>
      <c r="K13">
        <v>240981299</v>
      </c>
      <c r="L13">
        <v>244016173</v>
      </c>
      <c r="M13">
        <v>247099697</v>
      </c>
      <c r="N13">
        <v>250222695</v>
      </c>
      <c r="O13">
        <v>253275918</v>
      </c>
      <c r="P13">
        <v>256229761</v>
      </c>
      <c r="Q13">
        <v>259091970</v>
      </c>
      <c r="R13">
        <v>261850182</v>
      </c>
      <c r="S13">
        <v>264498852</v>
      </c>
      <c r="T13">
        <v>267066843</v>
      </c>
      <c r="U13">
        <v>269582878</v>
      </c>
      <c r="V13">
        <v>271857970</v>
      </c>
      <c r="W13">
        <v>273753191</v>
      </c>
      <c r="X13">
        <v>275501339</v>
      </c>
      <c r="Y13">
        <v>277534122</v>
      </c>
      <c r="Z13">
        <v>279798049</v>
      </c>
      <c r="AA13" s="3">
        <f>AVERAGE(Table1[[#This Row],[2003 '[YR2003']]:[2024 '[YR2024']]])</f>
        <v>253398957.18181819</v>
      </c>
    </row>
    <row r="14" spans="1:27" x14ac:dyDescent="0.55000000000000004">
      <c r="A14" t="s">
        <v>48</v>
      </c>
      <c r="B14" s="2" t="s">
        <v>36</v>
      </c>
      <c r="C14" t="s">
        <v>57</v>
      </c>
      <c r="D14" s="2" t="s">
        <v>81</v>
      </c>
      <c r="E14">
        <v>27068823</v>
      </c>
      <c r="F14">
        <v>27858948</v>
      </c>
      <c r="G14">
        <v>28698684</v>
      </c>
      <c r="H14">
        <v>28905607</v>
      </c>
      <c r="I14">
        <v>28660887</v>
      </c>
      <c r="J14">
        <v>29218381</v>
      </c>
      <c r="K14">
        <v>30289040</v>
      </c>
      <c r="L14">
        <v>31264875</v>
      </c>
      <c r="M14">
        <v>32378061</v>
      </c>
      <c r="N14">
        <v>33864447</v>
      </c>
      <c r="O14">
        <v>35481800</v>
      </c>
      <c r="P14">
        <v>36746488</v>
      </c>
      <c r="Q14">
        <v>37757813</v>
      </c>
      <c r="R14">
        <v>38697943</v>
      </c>
      <c r="S14">
        <v>39621162</v>
      </c>
      <c r="T14">
        <v>40590700</v>
      </c>
      <c r="U14">
        <v>41563520</v>
      </c>
      <c r="V14">
        <v>42556984</v>
      </c>
      <c r="W14">
        <v>43533592</v>
      </c>
      <c r="X14">
        <v>44496122</v>
      </c>
      <c r="Y14">
        <v>45504560</v>
      </c>
      <c r="Z14">
        <v>46523657</v>
      </c>
      <c r="AA14" s="3">
        <f>AVERAGE(Table1[[#This Row],[2003 '[YR2003']]:[2024 '[YR2024']]])</f>
        <v>35967367.909090906</v>
      </c>
    </row>
    <row r="15" spans="1:27" x14ac:dyDescent="0.55000000000000004">
      <c r="A15" t="s">
        <v>48</v>
      </c>
      <c r="B15" s="2" t="s">
        <v>36</v>
      </c>
      <c r="C15" t="s">
        <v>39</v>
      </c>
      <c r="D15" s="2" t="s">
        <v>44</v>
      </c>
      <c r="E15">
        <v>5689065</v>
      </c>
      <c r="F15">
        <v>5768167</v>
      </c>
      <c r="G15">
        <v>5852970</v>
      </c>
      <c r="H15">
        <v>5946593</v>
      </c>
      <c r="I15">
        <v>6041348</v>
      </c>
      <c r="J15">
        <v>6135861</v>
      </c>
      <c r="K15">
        <v>6229930</v>
      </c>
      <c r="L15">
        <v>6323418</v>
      </c>
      <c r="M15">
        <v>6416327</v>
      </c>
      <c r="N15">
        <v>6508803</v>
      </c>
      <c r="O15">
        <v>6600742</v>
      </c>
      <c r="P15">
        <v>6691454</v>
      </c>
      <c r="Q15">
        <v>6787419</v>
      </c>
      <c r="R15">
        <v>6891363</v>
      </c>
      <c r="S15">
        <v>6997917</v>
      </c>
      <c r="T15">
        <v>7105006</v>
      </c>
      <c r="U15">
        <v>7212053</v>
      </c>
      <c r="V15">
        <v>7319399</v>
      </c>
      <c r="W15">
        <v>7425057</v>
      </c>
      <c r="X15">
        <v>7529475</v>
      </c>
      <c r="Y15">
        <v>7633779</v>
      </c>
      <c r="Z15">
        <v>7736681</v>
      </c>
      <c r="AA15" s="3">
        <f>AVERAGE(Table1[[#This Row],[2003 '[YR2003']]:[2024 '[YR2024']]])</f>
        <v>6674673.9545454541</v>
      </c>
    </row>
    <row r="16" spans="1:27" x14ac:dyDescent="0.55000000000000004">
      <c r="A16" t="s">
        <v>48</v>
      </c>
      <c r="B16" s="2" t="s">
        <v>36</v>
      </c>
      <c r="C16" t="s">
        <v>68</v>
      </c>
      <c r="D16" s="2" t="s">
        <v>41</v>
      </c>
      <c r="E16">
        <v>46924293</v>
      </c>
      <c r="F16">
        <v>47338446</v>
      </c>
      <c r="G16">
        <v>47724471</v>
      </c>
      <c r="H16">
        <v>48088274</v>
      </c>
      <c r="I16">
        <v>48445647</v>
      </c>
      <c r="J16">
        <v>48729486</v>
      </c>
      <c r="K16">
        <v>49015836</v>
      </c>
      <c r="L16">
        <v>49390988</v>
      </c>
      <c r="M16">
        <v>49794522</v>
      </c>
      <c r="N16">
        <v>50218185</v>
      </c>
      <c r="O16">
        <v>50648334</v>
      </c>
      <c r="P16">
        <v>51072436</v>
      </c>
      <c r="Q16">
        <v>51483949</v>
      </c>
      <c r="R16">
        <v>51892349</v>
      </c>
      <c r="S16">
        <v>52288341</v>
      </c>
      <c r="T16">
        <v>52666014</v>
      </c>
      <c r="U16">
        <v>53040212</v>
      </c>
      <c r="V16">
        <v>53423198</v>
      </c>
      <c r="W16">
        <v>53798084</v>
      </c>
      <c r="X16">
        <v>54179306</v>
      </c>
      <c r="Y16">
        <v>54577997</v>
      </c>
      <c r="Z16">
        <v>54964694</v>
      </c>
      <c r="AA16" s="3">
        <f>AVERAGE(Table1[[#This Row],[2003 '[YR2003']]:[2024 '[YR2024']]])</f>
        <v>50895684.636363633</v>
      </c>
    </row>
    <row r="17" spans="1:27" x14ac:dyDescent="0.55000000000000004">
      <c r="A17" t="s">
        <v>48</v>
      </c>
      <c r="B17" s="2" t="s">
        <v>36</v>
      </c>
      <c r="C17" t="s">
        <v>35</v>
      </c>
      <c r="D17" s="2" t="s">
        <v>6</v>
      </c>
      <c r="E17">
        <v>25682908</v>
      </c>
      <c r="F17">
        <v>26003965</v>
      </c>
      <c r="G17">
        <v>26285110</v>
      </c>
      <c r="H17">
        <v>26518971</v>
      </c>
      <c r="I17">
        <v>26713655</v>
      </c>
      <c r="J17">
        <v>26881544</v>
      </c>
      <c r="K17">
        <v>27026941</v>
      </c>
      <c r="L17">
        <v>27161567</v>
      </c>
      <c r="M17">
        <v>27266399</v>
      </c>
      <c r="N17">
        <v>27330694</v>
      </c>
      <c r="O17">
        <v>27381555</v>
      </c>
      <c r="P17">
        <v>27462106</v>
      </c>
      <c r="Q17">
        <v>27610325</v>
      </c>
      <c r="R17">
        <v>27861186</v>
      </c>
      <c r="S17">
        <v>28183426</v>
      </c>
      <c r="T17">
        <v>28506712</v>
      </c>
      <c r="U17">
        <v>28832496</v>
      </c>
      <c r="V17">
        <v>29348627</v>
      </c>
      <c r="W17">
        <v>30034989</v>
      </c>
      <c r="X17">
        <v>30547580</v>
      </c>
      <c r="Y17">
        <v>30896590</v>
      </c>
      <c r="Z17">
        <v>31240315</v>
      </c>
      <c r="AA17" s="3">
        <f>AVERAGE(Table1[[#This Row],[2003 '[YR2003']]:[2024 '[YR2024']]])</f>
        <v>27944439.136363637</v>
      </c>
    </row>
    <row r="18" spans="1:27" x14ac:dyDescent="0.55000000000000004">
      <c r="A18" t="s">
        <v>48</v>
      </c>
      <c r="B18" s="2" t="s">
        <v>36</v>
      </c>
      <c r="C18" t="s">
        <v>42</v>
      </c>
      <c r="D18" s="2" t="s">
        <v>33</v>
      </c>
      <c r="E18">
        <v>133119801</v>
      </c>
      <c r="F18">
        <v>136756848</v>
      </c>
      <c r="G18">
        <v>140490722</v>
      </c>
      <c r="H18">
        <v>144329764</v>
      </c>
      <c r="I18">
        <v>148294028</v>
      </c>
      <c r="J18">
        <v>152382506</v>
      </c>
      <c r="K18">
        <v>156595758</v>
      </c>
      <c r="L18">
        <v>160952853</v>
      </c>
      <c r="M18">
        <v>165463745</v>
      </c>
      <c r="N18">
        <v>170075932</v>
      </c>
      <c r="O18">
        <v>174726123</v>
      </c>
      <c r="P18">
        <v>179379016</v>
      </c>
      <c r="Q18">
        <v>183995785</v>
      </c>
      <c r="R18">
        <v>188666931</v>
      </c>
      <c r="S18">
        <v>193495907</v>
      </c>
      <c r="T18">
        <v>198387623</v>
      </c>
      <c r="U18">
        <v>203304492</v>
      </c>
      <c r="V18">
        <v>208327405</v>
      </c>
      <c r="W18">
        <v>213401323</v>
      </c>
      <c r="X18">
        <v>218541212</v>
      </c>
      <c r="Y18">
        <v>223804632</v>
      </c>
      <c r="Z18">
        <v>229152217</v>
      </c>
      <c r="AA18" s="3">
        <f>AVERAGE(Table1[[#This Row],[2003 '[YR2003']]:[2024 '[YR2024']]])</f>
        <v>178347482.86363637</v>
      </c>
    </row>
    <row r="19" spans="1:27" x14ac:dyDescent="0.55000000000000004">
      <c r="A19" t="s">
        <v>48</v>
      </c>
      <c r="B19" s="2" t="s">
        <v>36</v>
      </c>
      <c r="C19" t="s">
        <v>86</v>
      </c>
      <c r="D19" s="2" t="s">
        <v>50</v>
      </c>
      <c r="E19">
        <v>166876680</v>
      </c>
      <c r="F19">
        <v>170648620</v>
      </c>
      <c r="G19">
        <v>174372098</v>
      </c>
      <c r="H19">
        <v>178069984</v>
      </c>
      <c r="I19">
        <v>181924521</v>
      </c>
      <c r="J19">
        <v>185931955</v>
      </c>
      <c r="K19">
        <v>190123222</v>
      </c>
      <c r="L19">
        <v>194454498</v>
      </c>
      <c r="M19">
        <v>198602738</v>
      </c>
      <c r="N19">
        <v>202205861</v>
      </c>
      <c r="O19">
        <v>205337562</v>
      </c>
      <c r="P19">
        <v>208251628</v>
      </c>
      <c r="Q19">
        <v>210969298</v>
      </c>
      <c r="R19">
        <v>213524840</v>
      </c>
      <c r="S19">
        <v>216379655</v>
      </c>
      <c r="T19">
        <v>219731479</v>
      </c>
      <c r="U19">
        <v>223293280</v>
      </c>
      <c r="V19">
        <v>227196741</v>
      </c>
      <c r="W19">
        <v>231402117</v>
      </c>
      <c r="X19">
        <v>235824862</v>
      </c>
      <c r="Y19">
        <v>240485658</v>
      </c>
      <c r="Z19">
        <v>245209815</v>
      </c>
      <c r="AA19" s="3">
        <f>AVERAGE(Table1[[#This Row],[2003 '[YR2003']]:[2024 '[YR2024']]])</f>
        <v>205491686.90909091</v>
      </c>
    </row>
    <row r="20" spans="1:27" x14ac:dyDescent="0.55000000000000004">
      <c r="A20" t="s">
        <v>48</v>
      </c>
      <c r="B20" s="2" t="s">
        <v>36</v>
      </c>
      <c r="C20" t="s">
        <v>40</v>
      </c>
      <c r="D20" s="2" t="s">
        <v>19</v>
      </c>
      <c r="E20">
        <v>42187645</v>
      </c>
      <c r="F20">
        <v>42921895</v>
      </c>
      <c r="G20">
        <v>43653155</v>
      </c>
      <c r="H20">
        <v>44397319</v>
      </c>
      <c r="I20">
        <v>45226803</v>
      </c>
      <c r="J20">
        <v>45954106</v>
      </c>
      <c r="K20">
        <v>46362946</v>
      </c>
      <c r="L20">
        <v>46576897</v>
      </c>
      <c r="M20">
        <v>46742697</v>
      </c>
      <c r="N20">
        <v>46773055</v>
      </c>
      <c r="O20">
        <v>46620045</v>
      </c>
      <c r="P20">
        <v>46480882</v>
      </c>
      <c r="Q20">
        <v>46444832</v>
      </c>
      <c r="R20">
        <v>46484062</v>
      </c>
      <c r="S20">
        <v>46593236</v>
      </c>
      <c r="T20">
        <v>46797754</v>
      </c>
      <c r="U20">
        <v>47134837</v>
      </c>
      <c r="V20">
        <v>47365655</v>
      </c>
      <c r="W20">
        <v>47415794</v>
      </c>
      <c r="X20">
        <v>47778340</v>
      </c>
      <c r="Y20">
        <v>48373336</v>
      </c>
      <c r="Z20">
        <v>48318580</v>
      </c>
      <c r="AA20" s="3">
        <f>AVERAGE(Table1[[#This Row],[2003 '[YR2003']]:[2024 '[YR2024']]])</f>
        <v>46209266.863636367</v>
      </c>
    </row>
    <row r="21" spans="1:27" x14ac:dyDescent="0.55000000000000004">
      <c r="A21" t="s">
        <v>48</v>
      </c>
      <c r="B21" s="2" t="s">
        <v>36</v>
      </c>
      <c r="C21" t="s">
        <v>4</v>
      </c>
      <c r="D21" s="2" t="s">
        <v>31</v>
      </c>
      <c r="E21">
        <v>64776956</v>
      </c>
      <c r="F21">
        <v>65311166</v>
      </c>
      <c r="G21">
        <v>65821360</v>
      </c>
      <c r="H21">
        <v>66319525</v>
      </c>
      <c r="I21">
        <v>66826754</v>
      </c>
      <c r="J21">
        <v>67328239</v>
      </c>
      <c r="K21">
        <v>67813654</v>
      </c>
      <c r="L21">
        <v>68270489</v>
      </c>
      <c r="M21">
        <v>68712846</v>
      </c>
      <c r="N21">
        <v>69157023</v>
      </c>
      <c r="O21">
        <v>69578602</v>
      </c>
      <c r="P21">
        <v>69960943</v>
      </c>
      <c r="Q21">
        <v>70294397</v>
      </c>
      <c r="R21">
        <v>70607037</v>
      </c>
      <c r="S21">
        <v>70898202</v>
      </c>
      <c r="T21">
        <v>71127802</v>
      </c>
      <c r="U21">
        <v>71307763</v>
      </c>
      <c r="V21">
        <v>71475664</v>
      </c>
      <c r="W21">
        <v>71601103</v>
      </c>
      <c r="X21">
        <v>71697030</v>
      </c>
      <c r="Y21">
        <v>71801279</v>
      </c>
      <c r="Z21">
        <v>71885799</v>
      </c>
      <c r="AA21" s="3">
        <f>AVERAGE(Table1[[#This Row],[2003 '[YR2003']]:[2024 '[YR2024']]])</f>
        <v>69207892.409090906</v>
      </c>
    </row>
    <row r="22" spans="1:27" x14ac:dyDescent="0.55000000000000004">
      <c r="A22" t="s">
        <v>48</v>
      </c>
      <c r="B22" s="2" t="s">
        <v>36</v>
      </c>
      <c r="C22" t="s">
        <v>59</v>
      </c>
      <c r="D22" s="2" t="s">
        <v>88</v>
      </c>
      <c r="E22">
        <v>66867327</v>
      </c>
      <c r="F22">
        <v>67785075</v>
      </c>
      <c r="G22">
        <v>68704715</v>
      </c>
      <c r="H22">
        <v>69601333</v>
      </c>
      <c r="I22">
        <v>70158112</v>
      </c>
      <c r="J22">
        <v>71051678</v>
      </c>
      <c r="K22">
        <v>72039206</v>
      </c>
      <c r="L22">
        <v>73142150</v>
      </c>
      <c r="M22">
        <v>74223629</v>
      </c>
      <c r="N22">
        <v>75175827</v>
      </c>
      <c r="O22">
        <v>76147624</v>
      </c>
      <c r="P22">
        <v>77181884</v>
      </c>
      <c r="Q22">
        <v>78218479</v>
      </c>
      <c r="R22">
        <v>79277962</v>
      </c>
      <c r="S22">
        <v>80312698</v>
      </c>
      <c r="T22">
        <v>81407204</v>
      </c>
      <c r="U22">
        <v>82579440</v>
      </c>
      <c r="V22">
        <v>83384680</v>
      </c>
      <c r="W22">
        <v>84147318</v>
      </c>
      <c r="X22">
        <v>84979913</v>
      </c>
      <c r="Y22">
        <v>85326000</v>
      </c>
      <c r="Z22">
        <v>85756376</v>
      </c>
      <c r="AA22" s="3">
        <f>AVERAGE(Table1[[#This Row],[2003 '[YR2003']]:[2024 '[YR2024']]])</f>
        <v>76703119.545454547</v>
      </c>
    </row>
    <row r="23" spans="1:27" x14ac:dyDescent="0.55000000000000004">
      <c r="A23" t="s">
        <v>48</v>
      </c>
      <c r="B23" s="2" t="s">
        <v>36</v>
      </c>
      <c r="C23" t="s">
        <v>3</v>
      </c>
      <c r="D23" s="2" t="s">
        <v>18</v>
      </c>
      <c r="E23">
        <v>59647577</v>
      </c>
      <c r="F23">
        <v>59987905</v>
      </c>
      <c r="G23">
        <v>60401206</v>
      </c>
      <c r="H23">
        <v>60846820</v>
      </c>
      <c r="I23">
        <v>61322463</v>
      </c>
      <c r="J23">
        <v>61806995</v>
      </c>
      <c r="K23">
        <v>62276270</v>
      </c>
      <c r="L23">
        <v>62766365</v>
      </c>
      <c r="M23">
        <v>63258810</v>
      </c>
      <c r="N23">
        <v>63700215</v>
      </c>
      <c r="O23">
        <v>64128273</v>
      </c>
      <c r="P23">
        <v>64602298</v>
      </c>
      <c r="Q23">
        <v>65116219</v>
      </c>
      <c r="R23">
        <v>65611593</v>
      </c>
      <c r="S23">
        <v>66058859</v>
      </c>
      <c r="T23">
        <v>66460344</v>
      </c>
      <c r="U23">
        <v>66836327</v>
      </c>
      <c r="V23">
        <v>67081234</v>
      </c>
      <c r="W23">
        <v>67026292</v>
      </c>
      <c r="X23">
        <v>67791000</v>
      </c>
      <c r="Y23">
        <v>68350000</v>
      </c>
      <c r="Z23">
        <v>68556800</v>
      </c>
      <c r="AA23" s="3">
        <f>AVERAGE(Table1[[#This Row],[2003 '[YR2003']]:[2024 '[YR2024']]])</f>
        <v>64256084.772727273</v>
      </c>
    </row>
    <row r="24" spans="1:27" x14ac:dyDescent="0.55000000000000004">
      <c r="A24" t="s">
        <v>48</v>
      </c>
      <c r="B24" s="2" t="s">
        <v>36</v>
      </c>
      <c r="C24" t="s">
        <v>63</v>
      </c>
      <c r="D24" s="2" t="s">
        <v>66</v>
      </c>
      <c r="E24">
        <v>290107933</v>
      </c>
      <c r="F24">
        <v>292805298</v>
      </c>
      <c r="G24">
        <v>295516599</v>
      </c>
      <c r="H24">
        <v>298379912</v>
      </c>
      <c r="I24">
        <v>301231207</v>
      </c>
      <c r="J24">
        <v>304093966</v>
      </c>
      <c r="K24">
        <v>306771529</v>
      </c>
      <c r="L24">
        <v>309327143</v>
      </c>
      <c r="M24">
        <v>311583481</v>
      </c>
      <c r="N24">
        <v>313877662</v>
      </c>
      <c r="O24">
        <v>316059947</v>
      </c>
      <c r="P24">
        <v>318386329</v>
      </c>
      <c r="Q24">
        <v>320738994</v>
      </c>
      <c r="R24">
        <v>323071755</v>
      </c>
      <c r="S24">
        <v>325122128</v>
      </c>
      <c r="T24">
        <v>326838199</v>
      </c>
      <c r="U24">
        <v>328329953</v>
      </c>
      <c r="V24">
        <v>331526933</v>
      </c>
      <c r="W24">
        <v>332048977</v>
      </c>
      <c r="X24">
        <v>333271411</v>
      </c>
      <c r="Y24">
        <v>334914895</v>
      </c>
      <c r="Z24">
        <v>336610656</v>
      </c>
      <c r="AA24" s="3">
        <f>AVERAGE(Table1[[#This Row],[2003 '[YR2003']]:[2024 '[YR2024']]])</f>
        <v>315937041.22727275</v>
      </c>
    </row>
    <row r="25" spans="1:27" x14ac:dyDescent="0.55000000000000004">
      <c r="A25" t="s">
        <v>48</v>
      </c>
      <c r="B25" s="2" t="s">
        <v>36</v>
      </c>
      <c r="C25" t="s">
        <v>28</v>
      </c>
      <c r="D25" s="2" t="s">
        <v>53</v>
      </c>
      <c r="E25">
        <v>81475825</v>
      </c>
      <c r="F25">
        <v>82311227</v>
      </c>
      <c r="G25">
        <v>83142095</v>
      </c>
      <c r="H25">
        <v>83951800</v>
      </c>
      <c r="I25">
        <v>84762269</v>
      </c>
      <c r="J25">
        <v>85597241</v>
      </c>
      <c r="K25">
        <v>86482923</v>
      </c>
      <c r="L25">
        <v>87411012</v>
      </c>
      <c r="M25">
        <v>88349117</v>
      </c>
      <c r="N25">
        <v>89301326</v>
      </c>
      <c r="O25">
        <v>90267739</v>
      </c>
      <c r="P25">
        <v>91235504</v>
      </c>
      <c r="Q25">
        <v>92191398</v>
      </c>
      <c r="R25">
        <v>93126529</v>
      </c>
      <c r="S25">
        <v>94033048</v>
      </c>
      <c r="T25">
        <v>94914330</v>
      </c>
      <c r="U25">
        <v>95776716</v>
      </c>
      <c r="V25">
        <v>96648685</v>
      </c>
      <c r="W25">
        <v>97468029</v>
      </c>
      <c r="X25">
        <v>98186856</v>
      </c>
      <c r="Y25">
        <v>98858950</v>
      </c>
      <c r="Z25">
        <v>99497680</v>
      </c>
      <c r="AA25" s="3">
        <f>AVERAGE(Table1[[#This Row],[2003 '[YR2003']]:[2024 '[YR2024']]])</f>
        <v>90681377.227272734</v>
      </c>
    </row>
    <row r="26" spans="1:27" x14ac:dyDescent="0.55000000000000004">
      <c r="B26" s="2"/>
      <c r="D26" s="2"/>
    </row>
    <row r="27" spans="1:27" x14ac:dyDescent="0.55000000000000004">
      <c r="B27" s="2"/>
      <c r="D27" s="2"/>
    </row>
    <row r="28" spans="1:27" x14ac:dyDescent="0.55000000000000004">
      <c r="B28" s="2"/>
      <c r="D28" s="2"/>
    </row>
    <row r="29" spans="1:27" x14ac:dyDescent="0.55000000000000004">
      <c r="B29" s="2"/>
      <c r="D29"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defaultRowHeight="14.4" x14ac:dyDescent="0.55000000000000004"/>
  <cols>
    <col min="1" max="1" width="15.7890625" customWidth="1"/>
    <col min="2" max="12" width="50.7890625" customWidth="1"/>
  </cols>
  <sheetData>
    <row r="1" spans="1:12" x14ac:dyDescent="0.55000000000000004">
      <c r="A1" s="1" t="s">
        <v>16</v>
      </c>
      <c r="B1" s="1" t="s">
        <v>43</v>
      </c>
      <c r="C1" s="1" t="s">
        <v>92</v>
      </c>
      <c r="D1" s="1" t="s">
        <v>62</v>
      </c>
      <c r="E1" s="1" t="s">
        <v>84</v>
      </c>
      <c r="F1" s="1" t="s">
        <v>51</v>
      </c>
      <c r="G1" s="1" t="s">
        <v>64</v>
      </c>
      <c r="H1" s="1" t="s">
        <v>8</v>
      </c>
      <c r="I1" s="1" t="s">
        <v>80</v>
      </c>
      <c r="J1" s="1" t="s">
        <v>1</v>
      </c>
      <c r="K1" s="1" t="s">
        <v>38</v>
      </c>
      <c r="L1" s="1" t="s">
        <v>58</v>
      </c>
    </row>
    <row r="2" spans="1:12" x14ac:dyDescent="0.55000000000000004">
      <c r="A2" s="1" t="s">
        <v>36</v>
      </c>
      <c r="B2" s="1" t="s">
        <v>49</v>
      </c>
      <c r="C2" s="1" t="s">
        <v>48</v>
      </c>
      <c r="D2" s="1" t="s">
        <v>2</v>
      </c>
      <c r="E2" s="1" t="s">
        <v>54</v>
      </c>
      <c r="F2" s="1" t="s">
        <v>26</v>
      </c>
      <c r="G2" s="1" t="s">
        <v>24</v>
      </c>
      <c r="H2" s="1" t="s">
        <v>55</v>
      </c>
      <c r="I2" s="1" t="s">
        <v>13</v>
      </c>
      <c r="J2" s="1" t="s">
        <v>32</v>
      </c>
      <c r="K2" s="1" t="s">
        <v>83</v>
      </c>
      <c r="L2"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Gada</cp:lastModifiedBy>
  <dcterms:modified xsi:type="dcterms:W3CDTF">2024-12-04T09:07:25Z</dcterms:modified>
</cp:coreProperties>
</file>